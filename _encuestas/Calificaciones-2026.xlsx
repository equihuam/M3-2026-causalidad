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h\0 Versiones\Cursos\m3-causalidad\2026\_encuestas\"/>
    </mc:Choice>
  </mc:AlternateContent>
  <xr:revisionPtr revIDLastSave="0" documentId="13_ncr:1_{7B8A5C93-EADD-4BDC-A7AD-8930D2DB7072}" xr6:coauthVersionLast="47" xr6:coauthVersionMax="47" xr10:uidLastSave="{00000000-0000-0000-0000-000000000000}"/>
  <bookViews>
    <workbookView xWindow="25080" yWindow="-120" windowWidth="29040" windowHeight="16440" xr2:uid="{57F80845-2267-40DF-BE0E-C1B19A076F2C}"/>
  </bookViews>
  <sheets>
    <sheet name="M3-notas" sheetId="1" r:id="rId1"/>
  </sheets>
  <definedNames>
    <definedName name="DatosExternos_1" localSheetId="0" hidden="1">'M3-notas'!$A$1:$H$15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N8" i="1" s="1"/>
  <c r="M13" i="1"/>
  <c r="N13" i="1" s="1"/>
  <c r="M10" i="1"/>
  <c r="N10" i="1" s="1"/>
  <c r="M4" i="1"/>
  <c r="N4" i="1" s="1"/>
  <c r="M12" i="1"/>
  <c r="N12" i="1" s="1"/>
  <c r="M11" i="1"/>
  <c r="N11" i="1" s="1"/>
  <c r="M6" i="1"/>
  <c r="N6" i="1" s="1"/>
  <c r="M9" i="1"/>
  <c r="N9" i="1" s="1"/>
  <c r="M7" i="1"/>
  <c r="N7" i="1" s="1"/>
  <c r="M5" i="1"/>
  <c r="N5" i="1" s="1"/>
  <c r="M15" i="1"/>
  <c r="N15" i="1" s="1"/>
  <c r="M2" i="1"/>
  <c r="N2" i="1" s="1"/>
  <c r="M3" i="1"/>
  <c r="N3" i="1" s="1"/>
  <c r="M14" i="1"/>
  <c r="N1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0748E2-B37C-4C24-9B1D-1E54F29FE8E1}" keepAlive="1" name="Consulta - entregados" description="Conexión a la consulta 'entregados' en el libro." type="5" refreshedVersion="8" background="1" saveData="1">
    <dbPr connection="Provider=Microsoft.Mashup.OleDb.1;Data Source=$Workbook$;Location=entregados;Extended Properties=&quot;&quot;" command="SELECT * FROM [entregados]"/>
  </connection>
</connections>
</file>

<file path=xl/sharedStrings.xml><?xml version="1.0" encoding="utf-8"?>
<sst xmlns="http://schemas.openxmlformats.org/spreadsheetml/2006/main" count="43" uniqueCount="42">
  <si>
    <t>bienvenida</t>
  </si>
  <si>
    <t>dag</t>
  </si>
  <si>
    <t>epistemología</t>
  </si>
  <si>
    <t>hipotesis</t>
  </si>
  <si>
    <t>alumno</t>
  </si>
  <si>
    <t>eje1</t>
  </si>
  <si>
    <t>eje2</t>
  </si>
  <si>
    <t>eje3</t>
  </si>
  <si>
    <t>eje4</t>
  </si>
  <si>
    <t>lec1</t>
  </si>
  <si>
    <t>lec2</t>
  </si>
  <si>
    <t>lec3</t>
  </si>
  <si>
    <t>Francisco Jerónimo García</t>
  </si>
  <si>
    <t>Lucía Rodríguez Muñoz</t>
  </si>
  <si>
    <t>Gendrón Charín Martínez</t>
  </si>
  <si>
    <t>Clarisa Irineo Reyes Ivana</t>
  </si>
  <si>
    <t>Karen Paola Lazcano Aguilar</t>
  </si>
  <si>
    <t>Jennifer Lizzet Fernández Valdez</t>
  </si>
  <si>
    <t>Eric Alvarado Meza</t>
  </si>
  <si>
    <t>Gabriela Alejandra Valencia Macias</t>
  </si>
  <si>
    <t>Fernanda Federica Fernández Licona</t>
  </si>
  <si>
    <t>Daniela Cubillos Bolaños</t>
  </si>
  <si>
    <t>Mercedes del Carmen Pérez Arriaga</t>
  </si>
  <si>
    <t>Ana Luz Morales Guerrero</t>
  </si>
  <si>
    <t>Andrés del Moral Hernández</t>
  </si>
  <si>
    <t>Mario Iván Miranda Rodríguez</t>
  </si>
  <si>
    <t xml:space="preserve">calificación </t>
  </si>
  <si>
    <t xml:space="preserve"> </t>
  </si>
  <si>
    <t xml:space="preserve">  RM repensar modelo, anidado sDAG solo el DAG, sin contexto sG_Ti_Mi sin grafico, tabla inaccesible, modelo estadístico incompleto sG_Ti_Mi sin grafico, tabla inaccesible, modelo estadístico incompleto, repasar relacion significancias y valores de t</t>
  </si>
  <si>
    <t xml:space="preserve">  NA no abre sDAG solo el DAG, sin contexto sME sin modelo estadistico</t>
  </si>
  <si>
    <t xml:space="preserve">  Gi_DF Grafico inaccesible, Dar Formarto sDAG solo el DAG, sin contexto SDE Sin diseño experimental vacio vacio</t>
  </si>
  <si>
    <t xml:space="preserve">  tiene todo, modelo, dag, fig vale por la tarea 2 y 4</t>
  </si>
  <si>
    <t xml:space="preserve">  NA no abre RM repensar modelo estadistico sDAG solo el DAG, sin contexto sME, sDE sin modelo estadistico, sin diseño experimental</t>
  </si>
  <si>
    <t xml:space="preserve">  sDAG solo el DAG, sin contexto</t>
  </si>
  <si>
    <t xml:space="preserve">  DF. Gi, Ri dar fromato, graficos y resultados incompletos Gi, Mi grafico inaccesible, Modelo incompleto la tarea de dag es un control de la lectura "aforismo" </t>
  </si>
  <si>
    <t xml:space="preserve">  DF. Gi, Ri dar fromato, graficos y resultados incompletos sDAG solo el DAG, sin contexto</t>
  </si>
  <si>
    <t xml:space="preserve">  ci dag contexto pobre mm madurar modelo estadistico</t>
  </si>
  <si>
    <t xml:space="preserve">  sDAG solo el DAG, sin contexto sDE falta diseño experimental</t>
  </si>
  <si>
    <t xml:space="preserve">  Df, GiTi dar fromato, graficos y resultados incompletos sDAG solo el DAG, sin contexto sM sin modelo estadistico</t>
  </si>
  <si>
    <t xml:space="preserve">  NA no abre sDAG solo el DAG, sin contexto</t>
  </si>
  <si>
    <t>comentarios</t>
  </si>
  <si>
    <t>calif-final-ajustada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</si>
</sst>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Calibri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</cellXfs>
  <cellStyles count="1">
    <cellStyle name="Normal" xfId="0" builtinId="0"/>
  </cellStyles>
  <dxfs count="17">
    <dxf>
      <numFmt numFmtId="164" formatCode="0.0"/>
      <alignment vertical="top" textRotation="0" wrapText="1" indent="0" justifyLastLine="0" shrinkToFit="0" readingOrder="0"/>
    </dxf>
    <dxf>
      <numFmt numFmtId="164" formatCode="0.0"/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numFmt numFmtId="164" formatCode="0.0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164" formatCode="0.0"/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numFmt numFmtId="0" formatCode="General"/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713138-BE64-4FB9-88C7-7ED78361B32F}" autoFormatId="16" applyNumberFormats="0" applyBorderFormats="0" applyFontFormats="0" applyPatternFormats="0" applyAlignmentFormats="0" applyWidthHeightFormats="0">
  <queryTableRefresh nextId="28" unboundColumnsRight="7">
    <queryTableFields count="15">
      <queryTableField id="1" name="alumno" tableColumnId="1"/>
      <queryTableField id="6" name="lec1" tableColumnId="6"/>
      <queryTableField id="7" name="lec2" tableColumnId="7"/>
      <queryTableField id="8" name="lec3" tableColumnId="8"/>
      <queryTableField id="2" name="eje1" tableColumnId="2"/>
      <queryTableField id="3" name="eje2" tableColumnId="3"/>
      <queryTableField id="4" name="eje3" tableColumnId="4"/>
      <queryTableField id="5" name="eje4" tableColumnId="5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8" dataBound="0" tableColumnId="14"/>
      <queryTableField id="19" dataBound="0" tableColumnId="15"/>
      <queryTableField id="27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BBB88-012A-41ED-83E3-98ED2A9CD37B}" name="entregados" displayName="entregados" ref="A1:O15" tableType="queryTable" totalsRowShown="0" headerRowDxfId="16" dataDxfId="15">
  <sortState xmlns:xlrd2="http://schemas.microsoft.com/office/spreadsheetml/2017/richdata2" ref="A2:N15">
    <sortCondition ref="A1:A15"/>
  </sortState>
  <tableColumns count="15">
    <tableColumn id="1" xr3:uid="{2111EA4D-D771-44C1-9A84-295540C4B084}" uniqueName="1" name="alumno" queryTableFieldId="1" dataDxfId="14"/>
    <tableColumn id="6" xr3:uid="{1A28A577-6613-474A-8193-8097ACCDB65D}" uniqueName="6" name="lec1" queryTableFieldId="6" dataDxfId="13"/>
    <tableColumn id="7" xr3:uid="{CFA4096E-F675-4571-9B6D-83BB641558C0}" uniqueName="7" name="lec2" queryTableFieldId="7" dataDxfId="12"/>
    <tableColumn id="8" xr3:uid="{0D8F4051-1CF1-4D07-A2EE-17FAA149A10D}" uniqueName="8" name="lec3" queryTableFieldId="8" dataDxfId="11"/>
    <tableColumn id="2" xr3:uid="{79E4657A-C65C-4AC7-89F0-C2ECAAAC78E3}" uniqueName="2" name="eje1" queryTableFieldId="2" dataDxfId="10"/>
    <tableColumn id="3" xr3:uid="{2E319FDF-AC9A-4FFA-986F-4451AB8C9772}" uniqueName="3" name="eje2" queryTableFieldId="3" dataDxfId="9"/>
    <tableColumn id="4" xr3:uid="{814EF27A-7228-4467-AD5B-A40C0BF24D9F}" uniqueName="4" name="eje3" queryTableFieldId="4" dataDxfId="8"/>
    <tableColumn id="5" xr3:uid="{5F6429AF-B6DD-4860-86D3-65C390A5A50D}" uniqueName="5" name="eje4" queryTableFieldId="5" dataDxfId="7"/>
    <tableColumn id="10" xr3:uid="{D433EA0A-F016-4188-8831-3D74C2D62DBA}" uniqueName="10" name="bienvenida" queryTableFieldId="10" dataDxfId="6"/>
    <tableColumn id="11" xr3:uid="{D43AA51E-2FE9-4185-A155-850F4BF223C1}" uniqueName="11" name="dag" queryTableFieldId="11" dataDxfId="5"/>
    <tableColumn id="12" xr3:uid="{2A8DFE4E-0DA8-4D9A-A208-A798D6135810}" uniqueName="12" name="epistemología" queryTableFieldId="12" dataDxfId="4"/>
    <tableColumn id="13" xr3:uid="{0779510D-D57B-4E9A-B22A-25796A297038}" uniqueName="13" name="hipotesis" queryTableFieldId="13" dataDxfId="3"/>
    <tableColumn id="14" xr3:uid="{248E70DC-780C-4CBD-BF94-7D153488C6E0}" uniqueName="14" name="calificación " queryTableFieldId="18" dataDxfId="2">
      <calculatedColumnFormula>AVERAGE(entregados[[#This Row],[eje1]:[eje4]])</calculatedColumnFormula>
    </tableColumn>
    <tableColumn id="15" xr3:uid="{F601133F-AE9A-4BDD-B4D8-3737C0237ACF}" uniqueName="15" name="calif-final-ajustada" queryTableFieldId="19" dataDxfId="1">
      <calculatedColumnFormula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calculatedColumnFormula>
    </tableColumn>
    <tableColumn id="16" xr3:uid="{EF9FB799-1C2A-4FC9-88DB-999C5C35D854}" uniqueName="16" name="comentarios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5CA1-053C-4A52-BA11-C2A90659E055}">
  <dimension ref="A1:Q32"/>
  <sheetViews>
    <sheetView tabSelected="1" workbookViewId="0">
      <selection activeCell="N15" sqref="N15"/>
    </sheetView>
  </sheetViews>
  <sheetFormatPr baseColWidth="10" defaultRowHeight="15" x14ac:dyDescent="0.25"/>
  <cols>
    <col min="1" max="1" width="33.85546875" style="2" bestFit="1" customWidth="1"/>
    <col min="2" max="5" width="4.85546875" style="2" bestFit="1" customWidth="1"/>
    <col min="6" max="8" width="4.7109375" style="2" bestFit="1" customWidth="1"/>
    <col min="9" max="9" width="11.5703125" style="2" bestFit="1" customWidth="1"/>
    <col min="10" max="10" width="6.5703125" style="2" customWidth="1"/>
    <col min="11" max="11" width="13.85546875" style="2" bestFit="1" customWidth="1"/>
    <col min="12" max="12" width="9.42578125" style="2" bestFit="1" customWidth="1"/>
    <col min="13" max="13" width="11.7109375" style="2" bestFit="1" customWidth="1"/>
    <col min="14" max="14" width="13" style="2" customWidth="1"/>
    <col min="15" max="15" width="58.28515625" style="2" customWidth="1"/>
    <col min="16" max="16384" width="11.42578125" style="2"/>
  </cols>
  <sheetData>
    <row r="1" spans="1:17" ht="30" x14ac:dyDescent="0.25">
      <c r="A1" s="2" t="s">
        <v>4</v>
      </c>
      <c r="B1" s="2" t="s">
        <v>9</v>
      </c>
      <c r="C1" s="2" t="s">
        <v>10</v>
      </c>
      <c r="D1" s="2" t="s">
        <v>11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26</v>
      </c>
      <c r="N1" s="2" t="s">
        <v>41</v>
      </c>
      <c r="O1" s="2" t="s">
        <v>40</v>
      </c>
    </row>
    <row r="2" spans="1:17" ht="75" x14ac:dyDescent="0.25">
      <c r="A2" s="2" t="s">
        <v>23</v>
      </c>
      <c r="B2" s="2">
        <v>10</v>
      </c>
      <c r="C2" s="2">
        <v>10</v>
      </c>
      <c r="D2" s="2">
        <v>10</v>
      </c>
      <c r="E2" s="2">
        <v>10</v>
      </c>
      <c r="F2" s="2">
        <v>10</v>
      </c>
      <c r="G2" s="2">
        <v>8</v>
      </c>
      <c r="H2" s="2">
        <v>10</v>
      </c>
      <c r="I2" s="1">
        <v>10</v>
      </c>
      <c r="J2" s="3">
        <v>2.5249999999999999</v>
      </c>
      <c r="K2" s="2">
        <v>10</v>
      </c>
      <c r="L2" s="3">
        <v>7.1428571428571432</v>
      </c>
      <c r="M2" s="2">
        <f>AVERAGE(entregados[[#This Row],[eje1]:[eje4]])</f>
        <v>9.5</v>
      </c>
      <c r="N2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9.870848214285715</v>
      </c>
      <c r="O2" s="3" t="s">
        <v>28</v>
      </c>
      <c r="P2" s="3"/>
      <c r="Q2" s="4"/>
    </row>
    <row r="3" spans="1:17" ht="30" x14ac:dyDescent="0.25">
      <c r="A3" s="2" t="s">
        <v>24</v>
      </c>
      <c r="B3" s="2">
        <v>10</v>
      </c>
      <c r="C3" s="2">
        <v>10</v>
      </c>
      <c r="D3" s="2">
        <v>10</v>
      </c>
      <c r="E3" s="2">
        <v>10</v>
      </c>
      <c r="F3" s="2">
        <v>10</v>
      </c>
      <c r="G3" s="2">
        <v>9</v>
      </c>
      <c r="H3" s="2">
        <v>10</v>
      </c>
      <c r="I3" s="1">
        <v>10</v>
      </c>
      <c r="J3" s="3">
        <v>5.0250000000000004</v>
      </c>
      <c r="K3" s="2">
        <v>10</v>
      </c>
      <c r="L3" s="3">
        <v>5.7142857142857135</v>
      </c>
      <c r="M3" s="2">
        <f>AVERAGE(entregados[[#This Row],[eje1]:[eje4]])</f>
        <v>9.75</v>
      </c>
      <c r="N3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10</v>
      </c>
      <c r="O3" s="3" t="s">
        <v>29</v>
      </c>
      <c r="P3" s="3"/>
      <c r="Q3" s="4"/>
    </row>
    <row r="4" spans="1:17" ht="30" x14ac:dyDescent="0.25">
      <c r="A4" s="5" t="s">
        <v>15</v>
      </c>
      <c r="B4" s="2">
        <v>10</v>
      </c>
      <c r="C4" s="2">
        <v>10</v>
      </c>
      <c r="D4" s="2">
        <v>10</v>
      </c>
      <c r="E4" s="2">
        <v>10</v>
      </c>
      <c r="F4" s="2">
        <v>10</v>
      </c>
      <c r="G4" s="2">
        <v>7</v>
      </c>
      <c r="H4" s="2">
        <v>7</v>
      </c>
      <c r="I4" s="1">
        <v>10</v>
      </c>
      <c r="J4" s="3">
        <v>5.0250000000000004</v>
      </c>
      <c r="K4" s="2">
        <v>5</v>
      </c>
      <c r="L4" s="3">
        <v>5.7142857142857135</v>
      </c>
      <c r="M4" s="2">
        <f>AVERAGE(entregados[[#This Row],[eje1]:[eje4]])</f>
        <v>8.5</v>
      </c>
      <c r="N4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8.8217410714285709</v>
      </c>
      <c r="O4" s="3" t="s">
        <v>30</v>
      </c>
      <c r="P4" s="3"/>
      <c r="Q4" s="4"/>
    </row>
    <row r="5" spans="1:17" x14ac:dyDescent="0.25">
      <c r="A5" s="2" t="s">
        <v>21</v>
      </c>
      <c r="B5" s="2">
        <v>10</v>
      </c>
      <c r="C5" s="2">
        <v>10</v>
      </c>
      <c r="D5" s="2">
        <v>10</v>
      </c>
      <c r="E5" s="2">
        <v>10</v>
      </c>
      <c r="F5" s="2">
        <v>10</v>
      </c>
      <c r="G5" s="2">
        <v>5</v>
      </c>
      <c r="H5" s="2">
        <v>5</v>
      </c>
      <c r="I5" s="1">
        <v>10</v>
      </c>
      <c r="J5" s="3">
        <v>5.0250000000000004</v>
      </c>
      <c r="K5" s="2">
        <v>5</v>
      </c>
      <c r="L5" s="3">
        <v>7.1428571428571432</v>
      </c>
      <c r="M5" s="2">
        <f>AVERAGE(entregados[[#This Row],[eje1]:[eje4]])</f>
        <v>7.5</v>
      </c>
      <c r="N5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7.8395982142857141</v>
      </c>
      <c r="O5" s="3" t="s">
        <v>31</v>
      </c>
      <c r="P5" s="3"/>
      <c r="Q5" s="4"/>
    </row>
    <row r="6" spans="1:17" ht="45" x14ac:dyDescent="0.25">
      <c r="A6" s="2" t="s">
        <v>18</v>
      </c>
      <c r="B6" s="2">
        <v>10</v>
      </c>
      <c r="C6" s="2">
        <v>10</v>
      </c>
      <c r="D6" s="2">
        <v>10</v>
      </c>
      <c r="E6" s="2">
        <v>10</v>
      </c>
      <c r="F6" s="2">
        <v>10</v>
      </c>
      <c r="G6" s="2">
        <v>7</v>
      </c>
      <c r="H6" s="2">
        <v>6</v>
      </c>
      <c r="I6" s="1">
        <v>10</v>
      </c>
      <c r="J6" s="3">
        <v>6.6916666666666655</v>
      </c>
      <c r="K6" s="2">
        <v>10</v>
      </c>
      <c r="L6" s="3">
        <v>10</v>
      </c>
      <c r="M6" s="2">
        <f>AVERAGE(entregados[[#This Row],[eje1]:[eje4]])</f>
        <v>8.25</v>
      </c>
      <c r="N6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8.7086458333333336</v>
      </c>
      <c r="O6" s="3" t="s">
        <v>32</v>
      </c>
      <c r="P6" s="3"/>
      <c r="Q6" s="4"/>
    </row>
    <row r="7" spans="1:17" x14ac:dyDescent="0.25">
      <c r="A7" s="2" t="s">
        <v>20</v>
      </c>
      <c r="B7" s="2">
        <v>10</v>
      </c>
      <c r="C7" s="2">
        <v>10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1">
        <v>10</v>
      </c>
      <c r="J7" s="3">
        <v>7.5250000000000004</v>
      </c>
      <c r="K7" s="2">
        <v>5</v>
      </c>
      <c r="L7" s="3">
        <v>7.1428571428571432</v>
      </c>
      <c r="M7" s="2">
        <f>AVERAGE(entregados[[#This Row],[eje1]:[eje4]])</f>
        <v>10</v>
      </c>
      <c r="N7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10</v>
      </c>
      <c r="O7" s="3" t="s">
        <v>27</v>
      </c>
      <c r="P7" s="3"/>
      <c r="Q7" s="4"/>
    </row>
    <row r="8" spans="1:17" x14ac:dyDescent="0.25">
      <c r="A8" s="2" t="s">
        <v>12</v>
      </c>
      <c r="B8" s="2">
        <v>10</v>
      </c>
      <c r="C8" s="2">
        <v>10</v>
      </c>
      <c r="D8" s="2">
        <v>10</v>
      </c>
      <c r="E8" s="2">
        <v>10</v>
      </c>
      <c r="F8" s="2">
        <v>10</v>
      </c>
      <c r="G8" s="2">
        <v>10</v>
      </c>
      <c r="H8" s="2">
        <v>5</v>
      </c>
      <c r="I8" s="1">
        <v>10</v>
      </c>
      <c r="J8" s="3">
        <v>2.5</v>
      </c>
      <c r="K8" s="2">
        <v>5</v>
      </c>
      <c r="L8" s="3">
        <v>8.5714285714285712</v>
      </c>
      <c r="M8" s="2">
        <f>AVERAGE(entregados[[#This Row],[eje1]:[eje4]])</f>
        <v>8.75</v>
      </c>
      <c r="N8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9.0758928571428577</v>
      </c>
      <c r="O8" s="3" t="s">
        <v>33</v>
      </c>
      <c r="P8" s="3"/>
      <c r="Q8" s="4"/>
    </row>
    <row r="9" spans="1:17" ht="45" x14ac:dyDescent="0.25">
      <c r="A9" s="2" t="s">
        <v>19</v>
      </c>
      <c r="B9" s="2">
        <v>10</v>
      </c>
      <c r="C9" s="2">
        <v>10</v>
      </c>
      <c r="D9" s="2">
        <v>10</v>
      </c>
      <c r="E9" s="2">
        <v>10</v>
      </c>
      <c r="F9" s="2">
        <v>10</v>
      </c>
      <c r="G9" s="2">
        <v>6</v>
      </c>
      <c r="H9" s="2">
        <v>9</v>
      </c>
      <c r="I9" s="1">
        <v>10</v>
      </c>
      <c r="J9" s="3">
        <v>10</v>
      </c>
      <c r="K9" s="2">
        <v>5</v>
      </c>
      <c r="L9" s="3">
        <v>7.1428571428571432</v>
      </c>
      <c r="M9" s="2">
        <f>AVERAGE(entregados[[#This Row],[eje1]:[eje4]])</f>
        <v>8.75</v>
      </c>
      <c r="N9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9.1517857142857135</v>
      </c>
      <c r="O9" s="3" t="s">
        <v>34</v>
      </c>
      <c r="P9" s="3"/>
      <c r="Q9" s="4"/>
    </row>
    <row r="10" spans="1:17" ht="30" x14ac:dyDescent="0.25">
      <c r="A10" s="5" t="s">
        <v>14</v>
      </c>
      <c r="B10" s="2">
        <v>10</v>
      </c>
      <c r="C10" s="2">
        <v>10</v>
      </c>
      <c r="D10" s="2">
        <v>10</v>
      </c>
      <c r="E10" s="2">
        <v>10</v>
      </c>
      <c r="F10" s="2">
        <v>10</v>
      </c>
      <c r="G10" s="6">
        <v>6</v>
      </c>
      <c r="H10" s="6">
        <v>5</v>
      </c>
      <c r="I10" s="1">
        <v>10</v>
      </c>
      <c r="J10" s="3">
        <v>7.5250000000000004</v>
      </c>
      <c r="K10" s="2">
        <v>5</v>
      </c>
      <c r="L10" s="3">
        <v>7.1428571428571432</v>
      </c>
      <c r="M10" s="2">
        <f>AVERAGE(entregados[[#This Row],[eje1]:[eje4]])</f>
        <v>7.75</v>
      </c>
      <c r="N10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8.120848214285715</v>
      </c>
      <c r="O10" s="3" t="s">
        <v>35</v>
      </c>
      <c r="P10" s="3"/>
      <c r="Q10" s="4"/>
    </row>
    <row r="11" spans="1:17" x14ac:dyDescent="0.25">
      <c r="A11" s="2" t="s">
        <v>17</v>
      </c>
      <c r="B11" s="2">
        <v>10</v>
      </c>
      <c r="C11" s="2">
        <v>10</v>
      </c>
      <c r="D11" s="2">
        <v>10</v>
      </c>
      <c r="E11" s="2">
        <v>10</v>
      </c>
      <c r="F11" s="2">
        <v>10</v>
      </c>
      <c r="G11" s="2">
        <v>8.5</v>
      </c>
      <c r="H11" s="2">
        <v>9</v>
      </c>
      <c r="I11" s="1">
        <v>10</v>
      </c>
      <c r="J11" s="3">
        <v>6.6916666666666655</v>
      </c>
      <c r="K11" s="2">
        <v>5</v>
      </c>
      <c r="L11" s="3">
        <v>8.5714285714285712</v>
      </c>
      <c r="M11" s="2">
        <f>AVERAGE(entregados[[#This Row],[eje1]:[eje4]])</f>
        <v>9.375</v>
      </c>
      <c r="N11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9.7532886904761913</v>
      </c>
      <c r="O11" s="3" t="s">
        <v>36</v>
      </c>
      <c r="P11" s="3"/>
      <c r="Q11" s="4"/>
    </row>
    <row r="12" spans="1:17" x14ac:dyDescent="0.25">
      <c r="A12" s="2" t="s">
        <v>16</v>
      </c>
      <c r="B12" s="2">
        <v>10</v>
      </c>
      <c r="C12" s="2">
        <v>10</v>
      </c>
      <c r="D12" s="2">
        <v>10</v>
      </c>
      <c r="E12" s="2">
        <v>10</v>
      </c>
      <c r="F12" s="2">
        <v>10</v>
      </c>
      <c r="G12" s="2">
        <v>5</v>
      </c>
      <c r="H12" s="2">
        <v>7</v>
      </c>
      <c r="I12" s="1">
        <v>10</v>
      </c>
      <c r="J12" s="3">
        <v>10</v>
      </c>
      <c r="K12" s="2">
        <v>5</v>
      </c>
      <c r="L12" s="3">
        <v>7.1428571428571432</v>
      </c>
      <c r="M12" s="2">
        <f>AVERAGE(entregados[[#This Row],[eje1]:[eje4]])</f>
        <v>8</v>
      </c>
      <c r="N12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8.4017857142857135</v>
      </c>
      <c r="O12" s="3" t="s">
        <v>37</v>
      </c>
      <c r="P12" s="3"/>
      <c r="Q12" s="4"/>
    </row>
    <row r="13" spans="1:17" x14ac:dyDescent="0.25">
      <c r="A13" s="2" t="s">
        <v>13</v>
      </c>
      <c r="B13" s="2">
        <v>10</v>
      </c>
      <c r="C13" s="2">
        <v>10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1">
        <v>10</v>
      </c>
      <c r="J13" s="3">
        <v>2.5</v>
      </c>
      <c r="K13" s="2">
        <v>5</v>
      </c>
      <c r="L13" s="3">
        <v>7.1428571428571432</v>
      </c>
      <c r="M13" s="2">
        <f>AVERAGE(entregados[[#This Row],[eje1]:[eje4]])</f>
        <v>10</v>
      </c>
      <c r="N13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10</v>
      </c>
      <c r="O13" s="3" t="s">
        <v>33</v>
      </c>
      <c r="P13" s="3"/>
      <c r="Q13" s="4"/>
    </row>
    <row r="14" spans="1:17" ht="30" x14ac:dyDescent="0.25">
      <c r="A14" s="2" t="s">
        <v>25</v>
      </c>
      <c r="B14" s="2">
        <v>10</v>
      </c>
      <c r="C14" s="2">
        <v>10</v>
      </c>
      <c r="D14" s="2">
        <v>10</v>
      </c>
      <c r="E14" s="2">
        <v>10</v>
      </c>
      <c r="F14" s="2">
        <v>10</v>
      </c>
      <c r="G14" s="2">
        <v>6</v>
      </c>
      <c r="H14" s="2">
        <v>7</v>
      </c>
      <c r="I14" s="1">
        <v>10</v>
      </c>
      <c r="J14" s="3">
        <v>5.0250000000000004</v>
      </c>
      <c r="K14" s="2">
        <v>5</v>
      </c>
      <c r="L14" s="3">
        <v>8.5714285714285712</v>
      </c>
      <c r="M14" s="2">
        <f>AVERAGE(entregados[[#This Row],[eje1]:[eje4]])</f>
        <v>8.25</v>
      </c>
      <c r="N14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8.6074553571428574</v>
      </c>
      <c r="O14" s="3" t="s">
        <v>38</v>
      </c>
      <c r="P14" s="3"/>
      <c r="Q14" s="4"/>
    </row>
    <row r="15" spans="1:17" x14ac:dyDescent="0.25">
      <c r="A15" s="2" t="s">
        <v>22</v>
      </c>
      <c r="B15" s="2">
        <v>10</v>
      </c>
      <c r="C15" s="2">
        <v>10</v>
      </c>
      <c r="D15" s="2">
        <v>10</v>
      </c>
      <c r="E15" s="2">
        <v>10</v>
      </c>
      <c r="F15" s="2">
        <v>10</v>
      </c>
      <c r="G15" s="2">
        <v>8</v>
      </c>
      <c r="H15" s="2">
        <v>10</v>
      </c>
      <c r="I15" s="1">
        <v>10</v>
      </c>
      <c r="J15" s="3">
        <v>7.5250000000000004</v>
      </c>
      <c r="K15" s="2">
        <v>5</v>
      </c>
      <c r="L15" s="3">
        <v>8.5714285714285712</v>
      </c>
      <c r="M15" s="2">
        <f>AVERAGE(entregados[[#This Row],[eje1]:[eje4]])</f>
        <v>9.5</v>
      </c>
      <c r="N15" s="3">
        <f>IF(entregados[[#This Row],[calificación ]]&lt;10,IF((entregados[[#This Row],[calificación ]] + AVERAGE(entregados[[#This Row],[bienvenida]:[hipotesis]])/20)&gt;10,10, entregados[[#This Row],[calificación ]] + AVERAGE(entregados[[#This Row],[bienvenida]:[hipotesis]])/20), 10)</f>
        <v>9.8887053571428574</v>
      </c>
      <c r="O15" s="3" t="s">
        <v>39</v>
      </c>
      <c r="P15" s="3"/>
      <c r="Q15" s="4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4"/>
    </row>
    <row r="20" spans="1:8" x14ac:dyDescent="0.25">
      <c r="A20" s="4"/>
    </row>
    <row r="21" spans="1:8" x14ac:dyDescent="0.25">
      <c r="A21" s="4"/>
    </row>
    <row r="22" spans="1:8" x14ac:dyDescent="0.25">
      <c r="A22" s="4"/>
    </row>
    <row r="23" spans="1:8" x14ac:dyDescent="0.25">
      <c r="A23" s="4"/>
    </row>
    <row r="24" spans="1:8" x14ac:dyDescent="0.25">
      <c r="A24" s="4"/>
    </row>
    <row r="25" spans="1:8" x14ac:dyDescent="0.25">
      <c r="A25" s="4"/>
    </row>
    <row r="26" spans="1:8" x14ac:dyDescent="0.25">
      <c r="A26" s="4"/>
    </row>
    <row r="27" spans="1:8" x14ac:dyDescent="0.25">
      <c r="A27" s="4"/>
    </row>
    <row r="28" spans="1:8" x14ac:dyDescent="0.25">
      <c r="A28" s="4"/>
    </row>
    <row r="29" spans="1:8" x14ac:dyDescent="0.25">
      <c r="A29" s="4"/>
    </row>
    <row r="30" spans="1:8" x14ac:dyDescent="0.25">
      <c r="A30" s="4"/>
    </row>
    <row r="31" spans="1:8" x14ac:dyDescent="0.25">
      <c r="A31" s="4"/>
    </row>
    <row r="32" spans="1:8" x14ac:dyDescent="0.25">
      <c r="A32" s="4"/>
    </row>
  </sheetData>
  <sortState xmlns:xlrd2="http://schemas.microsoft.com/office/spreadsheetml/2017/richdata2" ref="K19:R32">
    <sortCondition ref="K19:K32"/>
  </sortState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FE6E9-C8D2-4CC7-B722-D47E769C4C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M3-notas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Equihua Zamora</dc:creator>
  <cp:lastModifiedBy>Miguel Equihua Zamora</cp:lastModifiedBy>
  <dcterms:created xsi:type="dcterms:W3CDTF">2026-02-24T16:56:50Z</dcterms:created>
  <dcterms:modified xsi:type="dcterms:W3CDTF">2026-02-27T18:32:07Z</dcterms:modified>
</cp:coreProperties>
</file>